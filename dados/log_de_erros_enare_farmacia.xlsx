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oes" sheetId="1" state="visible" r:id="rId3"/>
    <sheet name="Listas" sheetId="2" state="hidden" r:id="rId4"/>
    <sheet name="Log de Erros" sheetId="3" state="visible" r:id="rId5"/>
    <sheet name="Resumo por Tem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<sst xmlns="http://schemas.openxmlformats.org/spreadsheetml/2006/main" count="129" uniqueCount="88">
  <si>
    <t xml:space="preserve">Log de Erros - Revisao Enare 2026/2027 (Farmacia)</t>
  </si>
  <si>
    <t xml:space="preserve">Prova: 13/09/2026  |  Banca: FGV</t>
  </si>
  <si>
    <t xml:space="preserve">COMO USAR ESTA PLANILHA</t>
  </si>
  <si>
    <t xml:space="preserve">1. Toda vez que voce errar uma questao (em simulado, banco de questoes ou revisao), registre uma linha na aba 'Log de Erros'.</t>
  </si>
  <si>
    <t xml:space="preserve">2. Preencha as colunas A a G no momento do erro. As colunas H e I (revisao) voce preenche depois, quando revisar o tema.</t>
  </si>
  <si>
    <t xml:space="preserve">3. As colunas 'Tema', 'Motivo do erro' e 'Ja revisei?' tem lista suspensa - clique na celula e escolha uma opcao.</t>
  </si>
  <si>
    <t xml:space="preserve">4. A aba 'Resumo por Tema' se atualiza sozinha (formulas) e mostra quais temas tem mais erros pendentes de revisao.</t>
  </si>
  <si>
    <t xml:space="preserve">5. Toda semana, olhe a aba 'Resumo por Tema', ordene mentalmente pelos temas com mais 'Erros pendentes' e priorize a revisao desses.</t>
  </si>
  <si>
    <t xml:space="preserve">6. A primeira linha da aba 'Log de Erros' e um EXEMPLO preenchido (fundo amarelo) - apague o conteudo dela antes de comecar a usar, mantendo a formatacao se quiser.</t>
  </si>
  <si>
    <t xml:space="preserve">COLUNAS DA ABA 'Log de Erros'</t>
  </si>
  <si>
    <t xml:space="preserve">- Data: data em que voce errou a questao.</t>
  </si>
  <si>
    <t xml:space="preserve">- Semana: semana do cronograma (1 a 6).</t>
  </si>
  <si>
    <t xml:space="preserve">- Tema: assunto do edital relacionado ao erro (lista suspensa).</t>
  </si>
  <si>
    <t xml:space="preserve">- Fonte da questao: de onde veio a questao (ex: Prova FGV Enare 2025, Simulado semana 3, Banco de questoes cursinho).</t>
  </si>
  <si>
    <t xml:space="preserve">- No da questao: numero/identificacao da questao, se houver.</t>
  </si>
  <si>
    <t xml:space="preserve">- Descricao do erro: anote em 1 frase o que voce errou ou confundiu.</t>
  </si>
  <si>
    <t xml:space="preserve">- Motivo do erro: lista suspensa com o motivo mais provavel.</t>
  </si>
  <si>
    <t xml:space="preserve">- Ja revisei o tema?: Sim / Nao (lista suspensa) - atualize apos revisar.</t>
  </si>
  <si>
    <t xml:space="preserve">- Data da revisao: quando voce revisou esse ponto.</t>
  </si>
  <si>
    <t xml:space="preserve">- Confianca pos-revisao (1-5): de 1 (ainda inseguro) a 5 (dominado).</t>
  </si>
  <si>
    <t xml:space="preserve">Temas (edital)</t>
  </si>
  <si>
    <t xml:space="preserve">Motivo do erro</t>
  </si>
  <si>
    <t xml:space="preserve">Ja revisei?</t>
  </si>
  <si>
    <t xml:space="preserve">Semana</t>
  </si>
  <si>
    <t xml:space="preserve">1.1 Historia das politicas de saude</t>
  </si>
  <si>
    <t xml:space="preserve">Nao sabia o conteudo</t>
  </si>
  <si>
    <t xml:space="preserve">Sim</t>
  </si>
  <si>
    <t xml:space="preserve">1.2 SUS (Lei 8080/8142, Decreto 7508)</t>
  </si>
  <si>
    <t xml:space="preserve">Confundi conceitos</t>
  </si>
  <si>
    <t xml:space="preserve">Nao</t>
  </si>
  <si>
    <t xml:space="preserve">1.3 Redes de Atencao a Saude</t>
  </si>
  <si>
    <t xml:space="preserve">Erro de interpretacao do enunciado</t>
  </si>
  <si>
    <t xml:space="preserve">1.4 Grupos vulnerabilizados</t>
  </si>
  <si>
    <t xml:space="preserve">Pegadinha da banca (FGV)</t>
  </si>
  <si>
    <t xml:space="preserve">1.5 ESF / PNAB</t>
  </si>
  <si>
    <t xml:space="preserve">Erro de atencao / distracao</t>
  </si>
  <si>
    <t xml:space="preserve">1.6 PNEPS (Portaria 198/2004)</t>
  </si>
  <si>
    <t xml:space="preserve">Esqueci o conteudo (nao revisado ha tempo)</t>
  </si>
  <si>
    <t xml:space="preserve">1.7 Politica Nacional de Humanizacao</t>
  </si>
  <si>
    <t xml:space="preserve">1.8 Politica Nacional de Vigilancia em Saude</t>
  </si>
  <si>
    <t xml:space="preserve">1.9 Bioetica</t>
  </si>
  <si>
    <t xml:space="preserve">1.10 Programa Nac. Seguranca do Paciente</t>
  </si>
  <si>
    <t xml:space="preserve">1.11 Trabalho em equipe multidisciplinar</t>
  </si>
  <si>
    <t xml:space="preserve">1.12 NR 32</t>
  </si>
  <si>
    <t xml:space="preserve">6.1 Assistencia farmaceutica no SUS</t>
  </si>
  <si>
    <t xml:space="preserve">6.2 Centro de Informacao sobre Medicamento</t>
  </si>
  <si>
    <t xml:space="preserve">6.3 Codigo de Etica Farmaceutica</t>
  </si>
  <si>
    <t xml:space="preserve">6.4 Controle infeccao hospitalar / antimicrobianos</t>
  </si>
  <si>
    <t xml:space="preserve">6.5 Controle terapeutico indice estreito</t>
  </si>
  <si>
    <t xml:space="preserve">6.6 Erros de medicacao</t>
  </si>
  <si>
    <t xml:space="preserve">6.7 Estudos de Utilizacao de Medicamentos (EUM)</t>
  </si>
  <si>
    <t xml:space="preserve">6.8 Farmacia Clinica x Atencao Farmaceutica</t>
  </si>
  <si>
    <t xml:space="preserve">6.9 Farmacovigilancia</t>
  </si>
  <si>
    <t xml:space="preserve">6.10 Gestao e logistica de medicamentos</t>
  </si>
  <si>
    <t xml:space="preserve">6.11 Interacoes medicamentosas</t>
  </si>
  <si>
    <t xml:space="preserve">6.12 Orientacao farmaceutica / adesao</t>
  </si>
  <si>
    <t xml:space="preserve">6.13 Farmacoepidemiologia</t>
  </si>
  <si>
    <t xml:space="preserve">6.14 Processo de cuidado (ambulatorial/internado)</t>
  </si>
  <si>
    <t xml:space="preserve">6.15 Protocolo de seguranca na prescricao/uso</t>
  </si>
  <si>
    <t xml:space="preserve">6.16 Resolucoes CFF 585 e 586/2013</t>
  </si>
  <si>
    <t xml:space="preserve">6.17 Seguimento paciente idoso</t>
  </si>
  <si>
    <t xml:space="preserve">6.18 Seguimento paciente cardiologia</t>
  </si>
  <si>
    <t xml:space="preserve">6.19 Seguimento paciente pediatria</t>
  </si>
  <si>
    <t xml:space="preserve">6.20 Farmacia oncologica e terapia nutricional</t>
  </si>
  <si>
    <t xml:space="preserve">6.21 Tecnovigilancia</t>
  </si>
  <si>
    <t xml:space="preserve">6.22 Habilidades (exames, leitura critica, anamnese)</t>
  </si>
  <si>
    <t xml:space="preserve">6.23 Atitudes profissionais</t>
  </si>
  <si>
    <t xml:space="preserve">Data</t>
  </si>
  <si>
    <t xml:space="preserve">Tema</t>
  </si>
  <si>
    <t xml:space="preserve">Fonte da questao</t>
  </si>
  <si>
    <t xml:space="preserve">No da questao</t>
  </si>
  <si>
    <t xml:space="preserve">Descricao do erro</t>
  </si>
  <si>
    <t xml:space="preserve">Ja revisei o tema?</t>
  </si>
  <si>
    <t xml:space="preserve">Data da revisao</t>
  </si>
  <si>
    <t xml:space="preserve">Confianca pos-revisao (1-5)</t>
  </si>
  <si>
    <t xml:space="preserve">03/08/2026</t>
  </si>
  <si>
    <t xml:space="preserve">Prova FGV Enare 2024</t>
  </si>
  <si>
    <t xml:space="preserve">Q47</t>
  </si>
  <si>
    <t xml:space="preserve">Confundi interacao farmacocinetica com farmacodinamica</t>
  </si>
  <si>
    <t xml:space="preserve">05/08/2026</t>
  </si>
  <si>
    <t xml:space="preserve">Resumo por Tema - Log de Erros</t>
  </si>
  <si>
    <t xml:space="preserve">Total de erros registrados:</t>
  </si>
  <si>
    <t xml:space="preserve">Total de erros ja revisados:</t>
  </si>
  <si>
    <t xml:space="preserve">% geral revisado:</t>
  </si>
  <si>
    <t xml:space="preserve">Total de erros</t>
  </si>
  <si>
    <t xml:space="preserve">Erros revisados</t>
  </si>
  <si>
    <t xml:space="preserve">Erros pendentes</t>
  </si>
  <si>
    <t xml:space="preserve">% revisado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</si>
</sst>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7.5" hidden="false" customHeight="true" outlineLevel="0" collapsed="false">
      <c r="A3" s="3"/>
    </row>
    <row r="4" customFormat="false" ht="18" hidden="false" customHeight="true" outlineLevel="0" collapsed="false">
      <c r="A4" s="4" t="s">
        <v>2</v>
      </c>
    </row>
    <row r="5" customFormat="false" ht="18" hidden="false" customHeight="true" outlineLevel="0" collapsed="false">
      <c r="A5" s="3" t="s">
        <v>3</v>
      </c>
    </row>
    <row r="6" customFormat="false" ht="18" hidden="false" customHeight="true" outlineLevel="0" collapsed="false">
      <c r="A6" s="3" t="s">
        <v>4</v>
      </c>
    </row>
    <row r="7" customFormat="false" ht="18" hidden="false" customHeight="true" outlineLevel="0" collapsed="false">
      <c r="A7" s="3" t="s">
        <v>5</v>
      </c>
    </row>
    <row r="8" customFormat="false" ht="18" hidden="false" customHeight="true" outlineLevel="0" collapsed="false">
      <c r="A8" s="3" t="s">
        <v>6</v>
      </c>
    </row>
    <row r="9" customFormat="false" ht="18" hidden="false" customHeight="true" outlineLevel="0" collapsed="false">
      <c r="A9" s="3" t="s">
        <v>7</v>
      </c>
    </row>
    <row r="10" customFormat="false" ht="18" hidden="false" customHeight="true" outlineLevel="0" collapsed="false">
      <c r="A10" s="3" t="s">
        <v>8</v>
      </c>
    </row>
    <row r="11" customFormat="false" ht="7.5" hidden="false" customHeight="true" outlineLevel="0" collapsed="false">
      <c r="A11" s="3"/>
    </row>
    <row r="12" customFormat="false" ht="18" hidden="false" customHeight="true" outlineLevel="0" collapsed="false">
      <c r="A12" s="3" t="s">
        <v>9</v>
      </c>
    </row>
    <row r="13" customFormat="false" ht="18" hidden="false" customHeight="true" outlineLevel="0" collapsed="false">
      <c r="A13" s="3" t="s">
        <v>10</v>
      </c>
    </row>
    <row r="14" customFormat="false" ht="18" hidden="false" customHeight="true" outlineLevel="0" collapsed="false">
      <c r="A14" s="3" t="s">
        <v>11</v>
      </c>
    </row>
    <row r="15" customFormat="false" ht="18" hidden="false" customHeight="true" outlineLevel="0" collapsed="false">
      <c r="A15" s="3" t="s">
        <v>12</v>
      </c>
    </row>
    <row r="16" customFormat="false" ht="18" hidden="false" customHeight="true" outlineLevel="0" collapsed="false">
      <c r="A16" s="3" t="s">
        <v>13</v>
      </c>
    </row>
    <row r="17" customFormat="false" ht="18" hidden="false" customHeight="true" outlineLevel="0" collapsed="false">
      <c r="A17" s="3" t="s">
        <v>14</v>
      </c>
    </row>
    <row r="18" customFormat="false" ht="18" hidden="false" customHeight="true" outlineLevel="0" collapsed="false">
      <c r="A18" s="3" t="s">
        <v>15</v>
      </c>
    </row>
    <row r="19" customFormat="false" ht="18" hidden="false" customHeight="true" outlineLevel="0" collapsed="false">
      <c r="A19" s="3" t="s">
        <v>16</v>
      </c>
    </row>
    <row r="20" customFormat="false" ht="18" hidden="false" customHeight="true" outlineLevel="0" collapsed="false">
      <c r="A20" s="3" t="s">
        <v>17</v>
      </c>
    </row>
    <row r="21" customFormat="false" ht="18" hidden="false" customHeight="true" outlineLevel="0" collapsed="false">
      <c r="A21" s="3" t="s">
        <v>18</v>
      </c>
    </row>
    <row r="22" customFormat="false" ht="18" hidden="false" customHeight="true" outlineLevel="0" collapsed="false">
      <c r="A22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4" t="s">
        <v>20</v>
      </c>
      <c r="B1" s="4" t="s">
        <v>21</v>
      </c>
      <c r="C1" s="4" t="s">
        <v>22</v>
      </c>
      <c r="D1" s="4" t="s">
        <v>23</v>
      </c>
    </row>
    <row r="2" customFormat="false" ht="15" hidden="false" customHeight="false" outlineLevel="0" collapsed="false">
      <c r="A2" s="0" t="s">
        <v>24</v>
      </c>
      <c r="B2" s="0" t="s">
        <v>25</v>
      </c>
      <c r="C2" s="0" t="s">
        <v>26</v>
      </c>
      <c r="D2" s="0" t="n">
        <v>1</v>
      </c>
    </row>
    <row r="3" customFormat="false" ht="15" hidden="false" customHeight="false" outlineLevel="0" collapsed="false">
      <c r="A3" s="0" t="s">
        <v>27</v>
      </c>
      <c r="B3" s="0" t="s">
        <v>28</v>
      </c>
      <c r="C3" s="0" t="s">
        <v>29</v>
      </c>
      <c r="D3" s="0" t="n">
        <v>2</v>
      </c>
    </row>
    <row r="4" customFormat="false" ht="15" hidden="false" customHeight="false" outlineLevel="0" collapsed="false">
      <c r="A4" s="0" t="s">
        <v>30</v>
      </c>
      <c r="B4" s="0" t="s">
        <v>31</v>
      </c>
      <c r="D4" s="0" t="n">
        <v>3</v>
      </c>
    </row>
    <row r="5" customFormat="false" ht="15" hidden="false" customHeight="false" outlineLevel="0" collapsed="false">
      <c r="A5" s="0" t="s">
        <v>32</v>
      </c>
      <c r="B5" s="0" t="s">
        <v>33</v>
      </c>
      <c r="D5" s="0" t="n">
        <v>4</v>
      </c>
    </row>
    <row r="6" customFormat="false" ht="15" hidden="false" customHeight="false" outlineLevel="0" collapsed="false">
      <c r="A6" s="0" t="s">
        <v>34</v>
      </c>
      <c r="B6" s="0" t="s">
        <v>35</v>
      </c>
      <c r="D6" s="0" t="n">
        <v>5</v>
      </c>
    </row>
    <row r="7" customFormat="false" ht="15" hidden="false" customHeight="false" outlineLevel="0" collapsed="false">
      <c r="A7" s="0" t="s">
        <v>36</v>
      </c>
      <c r="B7" s="0" t="s">
        <v>37</v>
      </c>
      <c r="D7" s="0" t="n">
        <v>6</v>
      </c>
    </row>
    <row r="8" customFormat="false" ht="15" hidden="false" customHeight="false" outlineLevel="0" collapsed="false">
      <c r="A8" s="0" t="s">
        <v>38</v>
      </c>
    </row>
    <row r="9" customFormat="false" ht="15" hidden="false" customHeight="false" outlineLevel="0" collapsed="false">
      <c r="A9" s="0" t="s">
        <v>39</v>
      </c>
    </row>
    <row r="10" customFormat="false" ht="15" hidden="false" customHeight="false" outlineLevel="0" collapsed="false">
      <c r="A10" s="0" t="s">
        <v>40</v>
      </c>
    </row>
    <row r="11" customFormat="false" ht="15" hidden="false" customHeight="false" outlineLevel="0" collapsed="false">
      <c r="A11" s="0" t="s">
        <v>41</v>
      </c>
    </row>
    <row r="12" customFormat="false" ht="15" hidden="false" customHeight="false" outlineLevel="0" collapsed="false">
      <c r="A12" s="0" t="s">
        <v>42</v>
      </c>
    </row>
    <row r="13" customFormat="false" ht="15" hidden="false" customHeight="false" outlineLevel="0" collapsed="false">
      <c r="A13" s="0" t="s">
        <v>43</v>
      </c>
    </row>
    <row r="14" customFormat="false" ht="15" hidden="false" customHeight="false" outlineLevel="0" collapsed="false">
      <c r="A14" s="0" t="s">
        <v>44</v>
      </c>
    </row>
    <row r="15" customFormat="false" ht="15" hidden="false" customHeight="false" outlineLevel="0" collapsed="false">
      <c r="A15" s="0" t="s">
        <v>45</v>
      </c>
    </row>
    <row r="16" customFormat="false" ht="15" hidden="false" customHeight="false" outlineLevel="0" collapsed="false">
      <c r="A16" s="0" t="s">
        <v>46</v>
      </c>
    </row>
    <row r="17" customFormat="false" ht="15" hidden="false" customHeight="false" outlineLevel="0" collapsed="false">
      <c r="A17" s="0" t="s">
        <v>47</v>
      </c>
    </row>
    <row r="18" customFormat="false" ht="15" hidden="false" customHeight="false" outlineLevel="0" collapsed="false">
      <c r="A18" s="0" t="s">
        <v>48</v>
      </c>
    </row>
    <row r="19" customFormat="false" ht="15" hidden="false" customHeight="false" outlineLevel="0" collapsed="false">
      <c r="A19" s="0" t="s">
        <v>49</v>
      </c>
    </row>
    <row r="20" customFormat="false" ht="15" hidden="false" customHeight="false" outlineLevel="0" collapsed="false">
      <c r="A20" s="0" t="s">
        <v>50</v>
      </c>
    </row>
    <row r="21" customFormat="false" ht="15" hidden="false" customHeight="false" outlineLevel="0" collapsed="false">
      <c r="A21" s="0" t="s">
        <v>51</v>
      </c>
    </row>
    <row r="22" customFormat="false" ht="15" hidden="false" customHeight="false" outlineLevel="0" collapsed="false">
      <c r="A22" s="0" t="s">
        <v>52</v>
      </c>
    </row>
    <row r="23" customFormat="false" ht="15" hidden="false" customHeight="false" outlineLevel="0" collapsed="false">
      <c r="A23" s="0" t="s">
        <v>53</v>
      </c>
    </row>
    <row r="24" customFormat="false" ht="15" hidden="false" customHeight="false" outlineLevel="0" collapsed="false">
      <c r="A24" s="0" t="s">
        <v>54</v>
      </c>
    </row>
    <row r="25" customFormat="false" ht="15" hidden="false" customHeight="false" outlineLevel="0" collapsed="false">
      <c r="A25" s="0" t="s">
        <v>55</v>
      </c>
    </row>
    <row r="26" customFormat="false" ht="15" hidden="false" customHeight="false" outlineLevel="0" collapsed="false">
      <c r="A26" s="0" t="s">
        <v>56</v>
      </c>
    </row>
    <row r="27" customFormat="false" ht="15" hidden="false" customHeight="false" outlineLevel="0" collapsed="false">
      <c r="A27" s="0" t="s">
        <v>57</v>
      </c>
    </row>
    <row r="28" customFormat="false" ht="15" hidden="false" customHeight="false" outlineLevel="0" collapsed="false">
      <c r="A28" s="0" t="s">
        <v>58</v>
      </c>
    </row>
    <row r="29" customFormat="false" ht="15" hidden="false" customHeight="false" outlineLevel="0" collapsed="false">
      <c r="A29" s="0" t="s">
        <v>59</v>
      </c>
    </row>
    <row r="30" customFormat="false" ht="15" hidden="false" customHeight="false" outlineLevel="0" collapsed="false">
      <c r="A30" s="0" t="s">
        <v>60</v>
      </c>
    </row>
    <row r="31" customFormat="false" ht="15" hidden="false" customHeight="false" outlineLevel="0" collapsed="false">
      <c r="A31" s="0" t="s">
        <v>61</v>
      </c>
    </row>
    <row r="32" customFormat="false" ht="15" hidden="false" customHeight="false" outlineLevel="0" collapsed="false">
      <c r="A32" s="0" t="s">
        <v>62</v>
      </c>
    </row>
    <row r="33" customFormat="false" ht="15" hidden="false" customHeight="false" outlineLevel="0" collapsed="false">
      <c r="A33" s="0" t="s">
        <v>63</v>
      </c>
    </row>
    <row r="34" customFormat="false" ht="15" hidden="false" customHeight="false" outlineLevel="0" collapsed="false">
      <c r="A34" s="0" t="s">
        <v>64</v>
      </c>
    </row>
    <row r="35" customFormat="false" ht="15" hidden="false" customHeight="false" outlineLevel="0" collapsed="false">
      <c r="A35" s="0" t="s">
        <v>65</v>
      </c>
    </row>
    <row r="36" customFormat="false" ht="15" hidden="false" customHeight="false" outlineLevel="0" collapsed="false">
      <c r="A36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5" t="s">
        <v>67</v>
      </c>
      <c r="B1" s="5" t="s">
        <v>23</v>
      </c>
      <c r="C1" s="5" t="s">
        <v>68</v>
      </c>
      <c r="D1" s="5" t="s">
        <v>69</v>
      </c>
      <c r="E1" s="5" t="s">
        <v>70</v>
      </c>
      <c r="F1" s="5" t="s">
        <v>71</v>
      </c>
      <c r="G1" s="5" t="s">
        <v>21</v>
      </c>
      <c r="H1" s="5" t="s">
        <v>72</v>
      </c>
      <c r="I1" s="5" t="s">
        <v>73</v>
      </c>
      <c r="J1" s="5" t="s">
        <v>74</v>
      </c>
    </row>
    <row r="2" customFormat="false" ht="19.5" hidden="false" customHeight="true" outlineLevel="0" collapsed="false">
      <c r="A2" s="6" t="s">
        <v>75</v>
      </c>
      <c r="B2" s="6" t="n">
        <v>1</v>
      </c>
      <c r="C2" s="6" t="s">
        <v>54</v>
      </c>
      <c r="D2" s="6" t="s">
        <v>76</v>
      </c>
      <c r="E2" s="6" t="s">
        <v>77</v>
      </c>
      <c r="F2" s="6" t="s">
        <v>78</v>
      </c>
      <c r="G2" s="6" t="s">
        <v>28</v>
      </c>
      <c r="H2" s="6" t="s">
        <v>26</v>
      </c>
      <c r="I2" s="6" t="s">
        <v>79</v>
      </c>
      <c r="J2" s="6" t="n">
        <v>4</v>
      </c>
    </row>
    <row r="3" customFormat="false" ht="19.5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</row>
    <row r="4" customFormat="false" ht="19.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</row>
    <row r="5" customFormat="false" ht="19.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</row>
    <row r="6" customFormat="false" ht="19.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</row>
    <row r="7" customFormat="false" ht="19.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</row>
    <row r="8" customFormat="false" ht="19.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</row>
    <row r="9" customFormat="false" ht="19.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</row>
    <row r="10" customFormat="false" ht="19.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customFormat="false" ht="19.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customFormat="false" ht="19.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customFormat="false" ht="19.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customFormat="false" ht="19.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customFormat="false" ht="19.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9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9.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9.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9.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9.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9.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customFormat="false" ht="19.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customFormat="false" ht="19.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customFormat="false" ht="19.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customFormat="false" ht="19.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customFormat="false" ht="19.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customFormat="false" ht="19.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customFormat="false" ht="19.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customFormat="false" ht="19.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customFormat="false" ht="19.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customFormat="false" ht="19.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customFormat="false" ht="19.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customFormat="false" ht="19.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customFormat="false" ht="19.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customFormat="false" ht="19.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9.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customFormat="false" ht="19.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customFormat="false" ht="19.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customFormat="false" ht="19.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customFormat="false" ht="19.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customFormat="false" ht="19.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customFormat="false" ht="19.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customFormat="false" ht="19.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customFormat="false" ht="19.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customFormat="false" ht="19.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customFormat="false" ht="19.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customFormat="false" ht="19.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customFormat="false" ht="19.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customFormat="false" ht="19.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customFormat="false" ht="19.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customFormat="false" ht="19.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customFormat="false" ht="19.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customFormat="false" ht="19.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customFormat="false" ht="19.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customFormat="false" ht="19.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customFormat="false" ht="19.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customFormat="false" ht="19.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customFormat="false" ht="19.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customFormat="false" ht="19.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customFormat="false" ht="19.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customFormat="false" ht="19.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customFormat="false" ht="19.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customFormat="false" ht="19.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customFormat="false" ht="19.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customFormat="false" ht="19.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9.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customFormat="false" ht="19.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customFormat="false" ht="19.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customFormat="false" ht="19.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customFormat="false" ht="19.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customFormat="false" ht="19.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customFormat="false" ht="19.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customFormat="false" ht="19.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customFormat="false" ht="19.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customFormat="false" ht="19.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customFormat="false" ht="19.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customFormat="false" ht="19.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customFormat="false" ht="19.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customFormat="false" ht="19.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customFormat="false" ht="19.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customFormat="false" ht="19.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customFormat="false" ht="19.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customFormat="false" ht="19.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customFormat="false" ht="19.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customFormat="false" ht="19.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9.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customFormat="false" ht="19.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customFormat="false" ht="19.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customFormat="false" ht="19.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customFormat="false" ht="19.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customFormat="false" ht="19.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customFormat="false" ht="19.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customFormat="false" ht="19.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customFormat="false" ht="19.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9.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customFormat="false" ht="19.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customFormat="false" ht="19.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customFormat="false" ht="19.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customFormat="false" ht="19.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customFormat="false" ht="19.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19.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customFormat="false" ht="19.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customFormat="false" ht="19.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customFormat="false" ht="19.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customFormat="false" ht="19.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customFormat="false" ht="19.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customFormat="false" ht="19.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customFormat="false" ht="19.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customFormat="false" ht="19.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customFormat="false" ht="19.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customFormat="false" ht="19.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customFormat="false" ht="19.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customFormat="false" ht="19.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customFormat="false" ht="19.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customFormat="false" ht="19.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customFormat="false" ht="19.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customFormat="false" ht="19.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customFormat="false" ht="19.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customFormat="false" ht="19.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customFormat="false" ht="19.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customFormat="false" ht="19.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customFormat="false" ht="19.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customFormat="false" ht="19.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customFormat="false" ht="19.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customFormat="false" ht="19.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customFormat="false" ht="19.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customFormat="false" ht="19.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customFormat="false" ht="19.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customFormat="false" ht="19.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customFormat="false" ht="19.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customFormat="false" ht="19.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customFormat="false" ht="19.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customFormat="false" ht="19.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customFormat="false" ht="19.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customFormat="false" ht="19.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customFormat="false" ht="19.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customFormat="false" ht="19.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customFormat="false" ht="19.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customFormat="false" ht="19.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customFormat="false" ht="19.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customFormat="false" ht="19.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customFormat="false" ht="19.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customFormat="false" ht="19.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customFormat="false" ht="19.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customFormat="false" ht="19.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customFormat="false" ht="19.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customFormat="false" ht="19.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customFormat="false" ht="19.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customFormat="false" ht="19.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customFormat="false" ht="19.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customFormat="false" ht="19.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customFormat="false" ht="19.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customFormat="false" ht="19.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customFormat="false" ht="19.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customFormat="false" ht="19.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customFormat="false" ht="19.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customFormat="false" ht="19.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customFormat="false" ht="19.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customFormat="false" ht="19.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customFormat="false" ht="19.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customFormat="false" ht="19.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customFormat="false" ht="19.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customFormat="false" ht="19.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customFormat="false" ht="19.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customFormat="false" ht="19.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customFormat="false" ht="19.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customFormat="false" ht="19.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customFormat="false" ht="19.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customFormat="false" ht="19.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customFormat="false" ht="19.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customFormat="false" ht="19.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customFormat="false" ht="19.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customFormat="false" ht="19.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customFormat="false" ht="19.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customFormat="false" ht="19.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customFormat="false" ht="19.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customFormat="false" ht="19.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customFormat="false" ht="19.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customFormat="false" ht="19.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customFormat="false" ht="19.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customFormat="false" ht="19.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customFormat="false" ht="19.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customFormat="false" ht="19.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customFormat="false" ht="19.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customFormat="false" ht="19.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customFormat="false" ht="19.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customFormat="false" ht="19.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customFormat="false" ht="19.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customFormat="false" ht="19.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customFormat="false" ht="19.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customFormat="false" ht="19.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customFormat="false" ht="19.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customFormat="false" ht="19.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customFormat="false" ht="19.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customFormat="false" ht="19.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customFormat="false" ht="19.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customFormat="false" ht="19.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customFormat="false" ht="19.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customFormat="false" ht="19.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customFormat="false" ht="19.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customFormat="false" ht="19.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customFormat="false" ht="19.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customFormat="false" ht="19.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customFormat="false" ht="19.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customFormat="false" ht="19.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customFormat="false" ht="19.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customFormat="false" ht="19.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customFormat="false" ht="19.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customFormat="false" ht="19.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customFormat="false" ht="19.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customFormat="false" ht="19.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customFormat="false" ht="19.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customFormat="false" ht="19.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customFormat="false" ht="19.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customFormat="false" ht="19.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customFormat="false" ht="19.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customFormat="false" ht="19.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customFormat="false" ht="19.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customFormat="false" ht="19.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customFormat="false" ht="19.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customFormat="false" ht="19.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customFormat="false" ht="19.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customFormat="false" ht="19.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customFormat="false" ht="19.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customFormat="false" ht="19.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customFormat="false" ht="19.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customFormat="false" ht="19.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customFormat="false" ht="19.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customFormat="false" ht="19.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customFormat="false" ht="19.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customFormat="false" ht="19.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customFormat="false" ht="19.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customFormat="false" ht="19.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customFormat="false" ht="19.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customFormat="false" ht="19.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customFormat="false" ht="19.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customFormat="false" ht="19.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customFormat="false" ht="19.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customFormat="false" ht="19.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customFormat="false" ht="19.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customFormat="false" ht="19.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customFormat="false" ht="19.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customFormat="false" ht="19.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customFormat="false" ht="19.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customFormat="false" ht="19.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customFormat="false" ht="19.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customFormat="false" ht="19.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customFormat="false" ht="19.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customFormat="false" ht="19.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customFormat="false" ht="19.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customFormat="false" ht="19.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customFormat="false" ht="19.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customFormat="false" ht="19.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customFormat="false" ht="19.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customFormat="false" ht="19.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customFormat="false" ht="19.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customFormat="false" ht="19.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customFormat="false" ht="19.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customFormat="false" ht="19.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customFormat="false" ht="19.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customFormat="false" ht="19.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customFormat="false" ht="19.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customFormat="false" ht="19.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customFormat="false" ht="19.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customFormat="false" ht="19.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customFormat="false" ht="19.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customFormat="false" ht="19.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customFormat="false" ht="19.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customFormat="false" ht="19.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customFormat="false" ht="19.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customFormat="false" ht="19.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customFormat="false" ht="19.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customFormat="false" ht="19.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customFormat="false" ht="19.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customFormat="false" ht="19.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customFormat="false" ht="19.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customFormat="false" ht="19.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customFormat="false" ht="19.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customFormat="false" ht="19.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customFormat="false" ht="19.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customFormat="false" ht="19.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customFormat="false" ht="19.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customFormat="false" ht="19.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customFormat="false" ht="19.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customFormat="false" ht="19.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customFormat="false" ht="19.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customFormat="false" ht="19.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customFormat="false" ht="19.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customFormat="false" ht="19.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customFormat="false" ht="19.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customFormat="false" ht="19.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customFormat="false" ht="19.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customFormat="false" ht="19.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customFormat="false" ht="19.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customFormat="false" ht="19.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customFormat="false" ht="19.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customFormat="false" ht="19.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customFormat="false" ht="19.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customFormat="false" ht="19.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customFormat="false" ht="19.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</row>
  </sheetData>
  <dataValidations count="5">
    <dataValidation allowBlank="true" error="Escolha um tema da lista." errorStyle="stop" errorTitle="Tema invalido" operator="between" showDropDown="false" showErrorMessage="false" showInputMessage="false" sqref="C2:C302" type="list">
      <formula1>Listas!$A$2:$A$36</formula1>
      <formula2>0</formula2>
    </dataValidation>
    <dataValidation allowBlank="true" errorStyle="stop" operator="between" showDropDown="false" showErrorMessage="false" showInputMessage="false" sqref="B2:B302" type="list">
      <formula1>Listas!$D$2:$D$7</formula1>
      <formula2>0</formula2>
    </dataValidation>
    <dataValidation allowBlank="true" errorStyle="stop" operator="between" showDropDown="false" showErrorMessage="false" showInputMessage="false" sqref="G2:G302" type="list">
      <formula1>Listas!$B$2:$B$7</formula1>
      <formula2>0</formula2>
    </dataValidation>
    <dataValidation allowBlank="true" errorStyle="stop" operator="between" showDropDown="false" showErrorMessage="false" showInputMessage="false" sqref="H2:H302" type="list">
      <formula1>Listas!$C$2:$C$3</formula1>
      <formula2>0</formula2>
    </dataValidation>
    <dataValidation allowBlank="true" error="Digite um numero de 1 a 5." errorStyle="stop" operator="between" showDropDown="false" showErrorMessage="false" showInputMessage="false" sqref="J3:J302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5"/>
    <col collapsed="false" customWidth="true" hidden="false" outlineLevel="0" max="4" min="3" style="0" width="16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8" t="s">
        <v>80</v>
      </c>
      <c r="B1" s="8"/>
      <c r="C1" s="8"/>
      <c r="D1" s="8"/>
      <c r="E1" s="8"/>
    </row>
    <row r="3" customFormat="false" ht="15" hidden="false" customHeight="false" outlineLevel="0" collapsed="false">
      <c r="A3" s="4" t="s">
        <v>81</v>
      </c>
      <c r="B3" s="3" t="n">
        <f aca="false">COUNTA('Log de Erros'!C3:C302)</f>
        <v>0</v>
      </c>
    </row>
    <row r="4" customFormat="false" ht="15" hidden="false" customHeight="false" outlineLevel="0" collapsed="false">
      <c r="A4" s="4" t="s">
        <v>82</v>
      </c>
      <c r="B4" s="3" t="n">
        <f aca="false">COUNTIF('Log de Erros'!H3:H302,"Sim")</f>
        <v>0</v>
      </c>
    </row>
    <row r="5" customFormat="false" ht="15" hidden="false" customHeight="false" outlineLevel="0" collapsed="false">
      <c r="A5" s="4" t="s">
        <v>83</v>
      </c>
      <c r="B5" s="9" t="n">
        <f aca="false">IFERROR(B4/B3,0)</f>
        <v>0</v>
      </c>
    </row>
    <row r="7" customFormat="false" ht="25.5" hidden="false" customHeight="true" outlineLevel="0" collapsed="false">
      <c r="A7" s="5" t="s">
        <v>68</v>
      </c>
      <c r="B7" s="5" t="s">
        <v>84</v>
      </c>
      <c r="C7" s="5" t="s">
        <v>85</v>
      </c>
      <c r="D7" s="5" t="s">
        <v>86</v>
      </c>
      <c r="E7" s="5" t="s">
        <v>87</v>
      </c>
    </row>
    <row r="8" customFormat="false" ht="15" hidden="false" customHeight="false" outlineLevel="0" collapsed="false">
      <c r="A8" s="10" t="s">
        <v>24</v>
      </c>
      <c r="B8" s="11" t="n">
        <f aca="false">COUNTIF('Log de Erros'!$C$3:$C$302,$A8)</f>
        <v>0</v>
      </c>
      <c r="C8" s="11" t="n">
        <f aca="false">COUNTIFS('Log de Erros'!$C$3:$C$302,$A8,'Log de Erros'!$H$3:$H$302,"Sim")</f>
        <v>0</v>
      </c>
      <c r="D8" s="11" t="n">
        <f aca="false">B8-C8</f>
        <v>0</v>
      </c>
      <c r="E8" s="12" t="n">
        <f aca="false">IFERROR(C8/B8,0)</f>
        <v>0</v>
      </c>
    </row>
    <row r="9" customFormat="false" ht="15" hidden="false" customHeight="false" outlineLevel="0" collapsed="false">
      <c r="A9" s="10" t="s">
        <v>27</v>
      </c>
      <c r="B9" s="11" t="n">
        <f aca="false">COUNTIF('Log de Erros'!$C$3:$C$302,$A9)</f>
        <v>0</v>
      </c>
      <c r="C9" s="11" t="n">
        <f aca="false">COUNTIFS('Log de Erros'!$C$3:$C$302,$A9,'Log de Erros'!$H$3:$H$302,"Sim")</f>
        <v>0</v>
      </c>
      <c r="D9" s="11" t="n">
        <f aca="false">B9-C9</f>
        <v>0</v>
      </c>
      <c r="E9" s="12" t="n">
        <f aca="false">IFERROR(C9/B9,0)</f>
        <v>0</v>
      </c>
    </row>
    <row r="10" customFormat="false" ht="15" hidden="false" customHeight="false" outlineLevel="0" collapsed="false">
      <c r="A10" s="10" t="s">
        <v>30</v>
      </c>
      <c r="B10" s="11" t="n">
        <f aca="false">COUNTIF('Log de Erros'!$C$3:$C$302,$A10)</f>
        <v>0</v>
      </c>
      <c r="C10" s="11" t="n">
        <f aca="false">COUNTIFS('Log de Erros'!$C$3:$C$302,$A10,'Log de Erros'!$H$3:$H$302,"Sim")</f>
        <v>0</v>
      </c>
      <c r="D10" s="11" t="n">
        <f aca="false">B10-C10</f>
        <v>0</v>
      </c>
      <c r="E10" s="12" t="n">
        <f aca="false">IFERROR(C10/B10,0)</f>
        <v>0</v>
      </c>
    </row>
    <row r="11" customFormat="false" ht="15" hidden="false" customHeight="false" outlineLevel="0" collapsed="false">
      <c r="A11" s="10" t="s">
        <v>32</v>
      </c>
      <c r="B11" s="11" t="n">
        <f aca="false">COUNTIF('Log de Erros'!$C$3:$C$302,$A11)</f>
        <v>0</v>
      </c>
      <c r="C11" s="11" t="n">
        <f aca="false">COUNTIFS('Log de Erros'!$C$3:$C$302,$A11,'Log de Erros'!$H$3:$H$302,"Sim")</f>
        <v>0</v>
      </c>
      <c r="D11" s="11" t="n">
        <f aca="false">B11-C11</f>
        <v>0</v>
      </c>
      <c r="E11" s="12" t="n">
        <f aca="false">IFERROR(C11/B11,0)</f>
        <v>0</v>
      </c>
    </row>
    <row r="12" customFormat="false" ht="15" hidden="false" customHeight="false" outlineLevel="0" collapsed="false">
      <c r="A12" s="10" t="s">
        <v>34</v>
      </c>
      <c r="B12" s="11" t="n">
        <f aca="false">COUNTIF('Log de Erros'!$C$3:$C$302,$A12)</f>
        <v>0</v>
      </c>
      <c r="C12" s="11" t="n">
        <f aca="false">COUNTIFS('Log de Erros'!$C$3:$C$302,$A12,'Log de Erros'!$H$3:$H$302,"Sim")</f>
        <v>0</v>
      </c>
      <c r="D12" s="11" t="n">
        <f aca="false">B12-C12</f>
        <v>0</v>
      </c>
      <c r="E12" s="12" t="n">
        <f aca="false">IFERROR(C12/B12,0)</f>
        <v>0</v>
      </c>
    </row>
    <row r="13" customFormat="false" ht="15" hidden="false" customHeight="false" outlineLevel="0" collapsed="false">
      <c r="A13" s="10" t="s">
        <v>36</v>
      </c>
      <c r="B13" s="11" t="n">
        <f aca="false">COUNTIF('Log de Erros'!$C$3:$C$302,$A13)</f>
        <v>0</v>
      </c>
      <c r="C13" s="11" t="n">
        <f aca="false">COUNTIFS('Log de Erros'!$C$3:$C$302,$A13,'Log de Erros'!$H$3:$H$302,"Sim")</f>
        <v>0</v>
      </c>
      <c r="D13" s="11" t="n">
        <f aca="false">B13-C13</f>
        <v>0</v>
      </c>
      <c r="E13" s="12" t="n">
        <f aca="false">IFERROR(C13/B13,0)</f>
        <v>0</v>
      </c>
    </row>
    <row r="14" customFormat="false" ht="15" hidden="false" customHeight="false" outlineLevel="0" collapsed="false">
      <c r="A14" s="10" t="s">
        <v>38</v>
      </c>
      <c r="B14" s="11" t="n">
        <f aca="false">COUNTIF('Log de Erros'!$C$3:$C$302,$A14)</f>
        <v>0</v>
      </c>
      <c r="C14" s="11" t="n">
        <f aca="false">COUNTIFS('Log de Erros'!$C$3:$C$302,$A14,'Log de Erros'!$H$3:$H$302,"Sim")</f>
        <v>0</v>
      </c>
      <c r="D14" s="11" t="n">
        <f aca="false">B14-C14</f>
        <v>0</v>
      </c>
      <c r="E14" s="12" t="n">
        <f aca="false">IFERROR(C14/B14,0)</f>
        <v>0</v>
      </c>
    </row>
    <row r="15" customFormat="false" ht="15" hidden="false" customHeight="false" outlineLevel="0" collapsed="false">
      <c r="A15" s="10" t="s">
        <v>39</v>
      </c>
      <c r="B15" s="11" t="n">
        <f aca="false">COUNTIF('Log de Erros'!$C$3:$C$302,$A15)</f>
        <v>0</v>
      </c>
      <c r="C15" s="11" t="n">
        <f aca="false">COUNTIFS('Log de Erros'!$C$3:$C$302,$A15,'Log de Erros'!$H$3:$H$302,"Sim")</f>
        <v>0</v>
      </c>
      <c r="D15" s="11" t="n">
        <f aca="false">B15-C15</f>
        <v>0</v>
      </c>
      <c r="E15" s="12" t="n">
        <f aca="false">IFERROR(C15/B15,0)</f>
        <v>0</v>
      </c>
    </row>
    <row r="16" customFormat="false" ht="15" hidden="false" customHeight="false" outlineLevel="0" collapsed="false">
      <c r="A16" s="10" t="s">
        <v>40</v>
      </c>
      <c r="B16" s="11" t="n">
        <f aca="false">COUNTIF('Log de Erros'!$C$3:$C$302,$A16)</f>
        <v>0</v>
      </c>
      <c r="C16" s="11" t="n">
        <f aca="false">COUNTIFS('Log de Erros'!$C$3:$C$302,$A16,'Log de Erros'!$H$3:$H$302,"Sim")</f>
        <v>0</v>
      </c>
      <c r="D16" s="11" t="n">
        <f aca="false">B16-C16</f>
        <v>0</v>
      </c>
      <c r="E16" s="12" t="n">
        <f aca="false">IFERROR(C16/B16,0)</f>
        <v>0</v>
      </c>
    </row>
    <row r="17" customFormat="false" ht="15" hidden="false" customHeight="false" outlineLevel="0" collapsed="false">
      <c r="A17" s="10" t="s">
        <v>41</v>
      </c>
      <c r="B17" s="11" t="n">
        <f aca="false">COUNTIF('Log de Erros'!$C$3:$C$302,$A17)</f>
        <v>0</v>
      </c>
      <c r="C17" s="11" t="n">
        <f aca="false">COUNTIFS('Log de Erros'!$C$3:$C$302,$A17,'Log de Erros'!$H$3:$H$302,"Sim")</f>
        <v>0</v>
      </c>
      <c r="D17" s="11" t="n">
        <f aca="false">B17-C17</f>
        <v>0</v>
      </c>
      <c r="E17" s="12" t="n">
        <f aca="false">IFERROR(C17/B17,0)</f>
        <v>0</v>
      </c>
    </row>
    <row r="18" customFormat="false" ht="15" hidden="false" customHeight="false" outlineLevel="0" collapsed="false">
      <c r="A18" s="10" t="s">
        <v>42</v>
      </c>
      <c r="B18" s="11" t="n">
        <f aca="false">COUNTIF('Log de Erros'!$C$3:$C$302,$A18)</f>
        <v>0</v>
      </c>
      <c r="C18" s="11" t="n">
        <f aca="false">COUNTIFS('Log de Erros'!$C$3:$C$302,$A18,'Log de Erros'!$H$3:$H$302,"Sim")</f>
        <v>0</v>
      </c>
      <c r="D18" s="11" t="n">
        <f aca="false">B18-C18</f>
        <v>0</v>
      </c>
      <c r="E18" s="12" t="n">
        <f aca="false">IFERROR(C18/B18,0)</f>
        <v>0</v>
      </c>
    </row>
    <row r="19" customFormat="false" ht="15" hidden="false" customHeight="false" outlineLevel="0" collapsed="false">
      <c r="A19" s="10" t="s">
        <v>43</v>
      </c>
      <c r="B19" s="11" t="n">
        <f aca="false">COUNTIF('Log de Erros'!$C$3:$C$302,$A19)</f>
        <v>0</v>
      </c>
      <c r="C19" s="11" t="n">
        <f aca="false">COUNTIFS('Log de Erros'!$C$3:$C$302,$A19,'Log de Erros'!$H$3:$H$302,"Sim")</f>
        <v>0</v>
      </c>
      <c r="D19" s="11" t="n">
        <f aca="false">B19-C19</f>
        <v>0</v>
      </c>
      <c r="E19" s="12" t="n">
        <f aca="false">IFERROR(C19/B19,0)</f>
        <v>0</v>
      </c>
    </row>
    <row r="20" customFormat="false" ht="15" hidden="false" customHeight="false" outlineLevel="0" collapsed="false">
      <c r="A20" s="10" t="s">
        <v>44</v>
      </c>
      <c r="B20" s="11" t="n">
        <f aca="false">COUNTIF('Log de Erros'!$C$3:$C$302,$A20)</f>
        <v>0</v>
      </c>
      <c r="C20" s="11" t="n">
        <f aca="false">COUNTIFS('Log de Erros'!$C$3:$C$302,$A20,'Log de Erros'!$H$3:$H$302,"Sim")</f>
        <v>0</v>
      </c>
      <c r="D20" s="11" t="n">
        <f aca="false">B20-C20</f>
        <v>0</v>
      </c>
      <c r="E20" s="12" t="n">
        <f aca="false">IFERROR(C20/B20,0)</f>
        <v>0</v>
      </c>
    </row>
    <row r="21" customFormat="false" ht="15" hidden="false" customHeight="false" outlineLevel="0" collapsed="false">
      <c r="A21" s="10" t="s">
        <v>45</v>
      </c>
      <c r="B21" s="11" t="n">
        <f aca="false">COUNTIF('Log de Erros'!$C$3:$C$302,$A21)</f>
        <v>0</v>
      </c>
      <c r="C21" s="11" t="n">
        <f aca="false">COUNTIFS('Log de Erros'!$C$3:$C$302,$A21,'Log de Erros'!$H$3:$H$302,"Sim")</f>
        <v>0</v>
      </c>
      <c r="D21" s="11" t="n">
        <f aca="false">B21-C21</f>
        <v>0</v>
      </c>
      <c r="E21" s="12" t="n">
        <f aca="false">IFERROR(C21/B21,0)</f>
        <v>0</v>
      </c>
    </row>
    <row r="22" customFormat="false" ht="15" hidden="false" customHeight="false" outlineLevel="0" collapsed="false">
      <c r="A22" s="10" t="s">
        <v>46</v>
      </c>
      <c r="B22" s="11" t="n">
        <f aca="false">COUNTIF('Log de Erros'!$C$3:$C$302,$A22)</f>
        <v>0</v>
      </c>
      <c r="C22" s="11" t="n">
        <f aca="false">COUNTIFS('Log de Erros'!$C$3:$C$302,$A22,'Log de Erros'!$H$3:$H$302,"Sim")</f>
        <v>0</v>
      </c>
      <c r="D22" s="11" t="n">
        <f aca="false">B22-C22</f>
        <v>0</v>
      </c>
      <c r="E22" s="12" t="n">
        <f aca="false">IFERROR(C22/B22,0)</f>
        <v>0</v>
      </c>
    </row>
    <row r="23" customFormat="false" ht="15" hidden="false" customHeight="false" outlineLevel="0" collapsed="false">
      <c r="A23" s="10" t="s">
        <v>47</v>
      </c>
      <c r="B23" s="11" t="n">
        <f aca="false">COUNTIF('Log de Erros'!$C$3:$C$302,$A23)</f>
        <v>0</v>
      </c>
      <c r="C23" s="11" t="n">
        <f aca="false">COUNTIFS('Log de Erros'!$C$3:$C$302,$A23,'Log de Erros'!$H$3:$H$302,"Sim")</f>
        <v>0</v>
      </c>
      <c r="D23" s="11" t="n">
        <f aca="false">B23-C23</f>
        <v>0</v>
      </c>
      <c r="E23" s="12" t="n">
        <f aca="false">IFERROR(C23/B23,0)</f>
        <v>0</v>
      </c>
    </row>
    <row r="24" customFormat="false" ht="15" hidden="false" customHeight="false" outlineLevel="0" collapsed="false">
      <c r="A24" s="10" t="s">
        <v>48</v>
      </c>
      <c r="B24" s="11" t="n">
        <f aca="false">COUNTIF('Log de Erros'!$C$3:$C$302,$A24)</f>
        <v>0</v>
      </c>
      <c r="C24" s="11" t="n">
        <f aca="false">COUNTIFS('Log de Erros'!$C$3:$C$302,$A24,'Log de Erros'!$H$3:$H$302,"Sim")</f>
        <v>0</v>
      </c>
      <c r="D24" s="11" t="n">
        <f aca="false">B24-C24</f>
        <v>0</v>
      </c>
      <c r="E24" s="12" t="n">
        <f aca="false">IFERROR(C24/B24,0)</f>
        <v>0</v>
      </c>
    </row>
    <row r="25" customFormat="false" ht="15" hidden="false" customHeight="false" outlineLevel="0" collapsed="false">
      <c r="A25" s="10" t="s">
        <v>49</v>
      </c>
      <c r="B25" s="11" t="n">
        <f aca="false">COUNTIF('Log de Erros'!$C$3:$C$302,$A25)</f>
        <v>0</v>
      </c>
      <c r="C25" s="11" t="n">
        <f aca="false">COUNTIFS('Log de Erros'!$C$3:$C$302,$A25,'Log de Erros'!$H$3:$H$302,"Sim")</f>
        <v>0</v>
      </c>
      <c r="D25" s="11" t="n">
        <f aca="false">B25-C25</f>
        <v>0</v>
      </c>
      <c r="E25" s="12" t="n">
        <f aca="false">IFERROR(C25/B25,0)</f>
        <v>0</v>
      </c>
    </row>
    <row r="26" customFormat="false" ht="15" hidden="false" customHeight="false" outlineLevel="0" collapsed="false">
      <c r="A26" s="10" t="s">
        <v>50</v>
      </c>
      <c r="B26" s="11" t="n">
        <f aca="false">COUNTIF('Log de Erros'!$C$3:$C$302,$A26)</f>
        <v>0</v>
      </c>
      <c r="C26" s="11" t="n">
        <f aca="false">COUNTIFS('Log de Erros'!$C$3:$C$302,$A26,'Log de Erros'!$H$3:$H$302,"Sim")</f>
        <v>0</v>
      </c>
      <c r="D26" s="11" t="n">
        <f aca="false">B26-C26</f>
        <v>0</v>
      </c>
      <c r="E26" s="12" t="n">
        <f aca="false">IFERROR(C26/B26,0)</f>
        <v>0</v>
      </c>
    </row>
    <row r="27" customFormat="false" ht="15" hidden="false" customHeight="false" outlineLevel="0" collapsed="false">
      <c r="A27" s="10" t="s">
        <v>51</v>
      </c>
      <c r="B27" s="11" t="n">
        <f aca="false">COUNTIF('Log de Erros'!$C$3:$C$302,$A27)</f>
        <v>0</v>
      </c>
      <c r="C27" s="11" t="n">
        <f aca="false">COUNTIFS('Log de Erros'!$C$3:$C$302,$A27,'Log de Erros'!$H$3:$H$302,"Sim")</f>
        <v>0</v>
      </c>
      <c r="D27" s="11" t="n">
        <f aca="false">B27-C27</f>
        <v>0</v>
      </c>
      <c r="E27" s="12" t="n">
        <f aca="false">IFERROR(C27/B27,0)</f>
        <v>0</v>
      </c>
    </row>
    <row r="28" customFormat="false" ht="15" hidden="false" customHeight="false" outlineLevel="0" collapsed="false">
      <c r="A28" s="10" t="s">
        <v>52</v>
      </c>
      <c r="B28" s="11" t="n">
        <f aca="false">COUNTIF('Log de Erros'!$C$3:$C$302,$A28)</f>
        <v>0</v>
      </c>
      <c r="C28" s="11" t="n">
        <f aca="false">COUNTIFS('Log de Erros'!$C$3:$C$302,$A28,'Log de Erros'!$H$3:$H$302,"Sim")</f>
        <v>0</v>
      </c>
      <c r="D28" s="11" t="n">
        <f aca="false">B28-C28</f>
        <v>0</v>
      </c>
      <c r="E28" s="12" t="n">
        <f aca="false">IFERROR(C28/B28,0)</f>
        <v>0</v>
      </c>
    </row>
    <row r="29" customFormat="false" ht="15" hidden="false" customHeight="false" outlineLevel="0" collapsed="false">
      <c r="A29" s="10" t="s">
        <v>53</v>
      </c>
      <c r="B29" s="11" t="n">
        <f aca="false">COUNTIF('Log de Erros'!$C$3:$C$302,$A29)</f>
        <v>0</v>
      </c>
      <c r="C29" s="11" t="n">
        <f aca="false">COUNTIFS('Log de Erros'!$C$3:$C$302,$A29,'Log de Erros'!$H$3:$H$302,"Sim")</f>
        <v>0</v>
      </c>
      <c r="D29" s="11" t="n">
        <f aca="false">B29-C29</f>
        <v>0</v>
      </c>
      <c r="E29" s="12" t="n">
        <f aca="false">IFERROR(C29/B29,0)</f>
        <v>0</v>
      </c>
    </row>
    <row r="30" customFormat="false" ht="15" hidden="false" customHeight="false" outlineLevel="0" collapsed="false">
      <c r="A30" s="10" t="s">
        <v>54</v>
      </c>
      <c r="B30" s="11" t="n">
        <f aca="false">COUNTIF('Log de Erros'!$C$3:$C$302,$A30)</f>
        <v>0</v>
      </c>
      <c r="C30" s="11" t="n">
        <f aca="false">COUNTIFS('Log de Erros'!$C$3:$C$302,$A30,'Log de Erros'!$H$3:$H$302,"Sim")</f>
        <v>0</v>
      </c>
      <c r="D30" s="11" t="n">
        <f aca="false">B30-C30</f>
        <v>0</v>
      </c>
      <c r="E30" s="12" t="n">
        <f aca="false">IFERROR(C30/B30,0)</f>
        <v>0</v>
      </c>
    </row>
    <row r="31" customFormat="false" ht="15" hidden="false" customHeight="false" outlineLevel="0" collapsed="false">
      <c r="A31" s="10" t="s">
        <v>55</v>
      </c>
      <c r="B31" s="11" t="n">
        <f aca="false">COUNTIF('Log de Erros'!$C$3:$C$302,$A31)</f>
        <v>0</v>
      </c>
      <c r="C31" s="11" t="n">
        <f aca="false">COUNTIFS('Log de Erros'!$C$3:$C$302,$A31,'Log de Erros'!$H$3:$H$302,"Sim")</f>
        <v>0</v>
      </c>
      <c r="D31" s="11" t="n">
        <f aca="false">B31-C31</f>
        <v>0</v>
      </c>
      <c r="E31" s="12" t="n">
        <f aca="false">IFERROR(C31/B31,0)</f>
        <v>0</v>
      </c>
    </row>
    <row r="32" customFormat="false" ht="15" hidden="false" customHeight="false" outlineLevel="0" collapsed="false">
      <c r="A32" s="10" t="s">
        <v>56</v>
      </c>
      <c r="B32" s="11" t="n">
        <f aca="false">COUNTIF('Log de Erros'!$C$3:$C$302,$A32)</f>
        <v>0</v>
      </c>
      <c r="C32" s="11" t="n">
        <f aca="false">COUNTIFS('Log de Erros'!$C$3:$C$302,$A32,'Log de Erros'!$H$3:$H$302,"Sim")</f>
        <v>0</v>
      </c>
      <c r="D32" s="11" t="n">
        <f aca="false">B32-C32</f>
        <v>0</v>
      </c>
      <c r="E32" s="12" t="n">
        <f aca="false">IFERROR(C32/B32,0)</f>
        <v>0</v>
      </c>
    </row>
    <row r="33" customFormat="false" ht="15" hidden="false" customHeight="false" outlineLevel="0" collapsed="false">
      <c r="A33" s="10" t="s">
        <v>57</v>
      </c>
      <c r="B33" s="11" t="n">
        <f aca="false">COUNTIF('Log de Erros'!$C$3:$C$302,$A33)</f>
        <v>0</v>
      </c>
      <c r="C33" s="11" t="n">
        <f aca="false">COUNTIFS('Log de Erros'!$C$3:$C$302,$A33,'Log de Erros'!$H$3:$H$302,"Sim")</f>
        <v>0</v>
      </c>
      <c r="D33" s="11" t="n">
        <f aca="false">B33-C33</f>
        <v>0</v>
      </c>
      <c r="E33" s="12" t="n">
        <f aca="false">IFERROR(C33/B33,0)</f>
        <v>0</v>
      </c>
    </row>
    <row r="34" customFormat="false" ht="15" hidden="false" customHeight="false" outlineLevel="0" collapsed="false">
      <c r="A34" s="10" t="s">
        <v>58</v>
      </c>
      <c r="B34" s="11" t="n">
        <f aca="false">COUNTIF('Log de Erros'!$C$3:$C$302,$A34)</f>
        <v>0</v>
      </c>
      <c r="C34" s="11" t="n">
        <f aca="false">COUNTIFS('Log de Erros'!$C$3:$C$302,$A34,'Log de Erros'!$H$3:$H$302,"Sim")</f>
        <v>0</v>
      </c>
      <c r="D34" s="11" t="n">
        <f aca="false">B34-C34</f>
        <v>0</v>
      </c>
      <c r="E34" s="12" t="n">
        <f aca="false">IFERROR(C34/B34,0)</f>
        <v>0</v>
      </c>
    </row>
    <row r="35" customFormat="false" ht="15" hidden="false" customHeight="false" outlineLevel="0" collapsed="false">
      <c r="A35" s="10" t="s">
        <v>59</v>
      </c>
      <c r="B35" s="11" t="n">
        <f aca="false">COUNTIF('Log de Erros'!$C$3:$C$302,$A35)</f>
        <v>0</v>
      </c>
      <c r="C35" s="11" t="n">
        <f aca="false">COUNTIFS('Log de Erros'!$C$3:$C$302,$A35,'Log de Erros'!$H$3:$H$302,"Sim")</f>
        <v>0</v>
      </c>
      <c r="D35" s="11" t="n">
        <f aca="false">B35-C35</f>
        <v>0</v>
      </c>
      <c r="E35" s="12" t="n">
        <f aca="false">IFERROR(C35/B35,0)</f>
        <v>0</v>
      </c>
    </row>
    <row r="36" customFormat="false" ht="15" hidden="false" customHeight="false" outlineLevel="0" collapsed="false">
      <c r="A36" s="10" t="s">
        <v>60</v>
      </c>
      <c r="B36" s="11" t="n">
        <f aca="false">COUNTIF('Log de Erros'!$C$3:$C$302,$A36)</f>
        <v>0</v>
      </c>
      <c r="C36" s="11" t="n">
        <f aca="false">COUNTIFS('Log de Erros'!$C$3:$C$302,$A36,'Log de Erros'!$H$3:$H$302,"Sim")</f>
        <v>0</v>
      </c>
      <c r="D36" s="11" t="n">
        <f aca="false">B36-C36</f>
        <v>0</v>
      </c>
      <c r="E36" s="12" t="n">
        <f aca="false">IFERROR(C36/B36,0)</f>
        <v>0</v>
      </c>
    </row>
    <row r="37" customFormat="false" ht="15" hidden="false" customHeight="false" outlineLevel="0" collapsed="false">
      <c r="A37" s="10" t="s">
        <v>61</v>
      </c>
      <c r="B37" s="11" t="n">
        <f aca="false">COUNTIF('Log de Erros'!$C$3:$C$302,$A37)</f>
        <v>0</v>
      </c>
      <c r="C37" s="11" t="n">
        <f aca="false">COUNTIFS('Log de Erros'!$C$3:$C$302,$A37,'Log de Erros'!$H$3:$H$302,"Sim")</f>
        <v>0</v>
      </c>
      <c r="D37" s="11" t="n">
        <f aca="false">B37-C37</f>
        <v>0</v>
      </c>
      <c r="E37" s="12" t="n">
        <f aca="false">IFERROR(C37/B37,0)</f>
        <v>0</v>
      </c>
    </row>
    <row r="38" customFormat="false" ht="15" hidden="false" customHeight="false" outlineLevel="0" collapsed="false">
      <c r="A38" s="10" t="s">
        <v>62</v>
      </c>
      <c r="B38" s="11" t="n">
        <f aca="false">COUNTIF('Log de Erros'!$C$3:$C$302,$A38)</f>
        <v>0</v>
      </c>
      <c r="C38" s="11" t="n">
        <f aca="false">COUNTIFS('Log de Erros'!$C$3:$C$302,$A38,'Log de Erros'!$H$3:$H$302,"Sim")</f>
        <v>0</v>
      </c>
      <c r="D38" s="11" t="n">
        <f aca="false">B38-C38</f>
        <v>0</v>
      </c>
      <c r="E38" s="12" t="n">
        <f aca="false">IFERROR(C38/B38,0)</f>
        <v>0</v>
      </c>
    </row>
    <row r="39" customFormat="false" ht="15" hidden="false" customHeight="false" outlineLevel="0" collapsed="false">
      <c r="A39" s="10" t="s">
        <v>63</v>
      </c>
      <c r="B39" s="11" t="n">
        <f aca="false">COUNTIF('Log de Erros'!$C$3:$C$302,$A39)</f>
        <v>0</v>
      </c>
      <c r="C39" s="11" t="n">
        <f aca="false">COUNTIFS('Log de Erros'!$C$3:$C$302,$A39,'Log de Erros'!$H$3:$H$302,"Sim")</f>
        <v>0</v>
      </c>
      <c r="D39" s="11" t="n">
        <f aca="false">B39-C39</f>
        <v>0</v>
      </c>
      <c r="E39" s="12" t="n">
        <f aca="false">IFERROR(C39/B39,0)</f>
        <v>0</v>
      </c>
    </row>
    <row r="40" customFormat="false" ht="15" hidden="false" customHeight="false" outlineLevel="0" collapsed="false">
      <c r="A40" s="10" t="s">
        <v>64</v>
      </c>
      <c r="B40" s="11" t="n">
        <f aca="false">COUNTIF('Log de Erros'!$C$3:$C$302,$A40)</f>
        <v>0</v>
      </c>
      <c r="C40" s="11" t="n">
        <f aca="false">COUNTIFS('Log de Erros'!$C$3:$C$302,$A40,'Log de Erros'!$H$3:$H$302,"Sim")</f>
        <v>0</v>
      </c>
      <c r="D40" s="11" t="n">
        <f aca="false">B40-C40</f>
        <v>0</v>
      </c>
      <c r="E40" s="12" t="n">
        <f aca="false">IFERROR(C40/B40,0)</f>
        <v>0</v>
      </c>
    </row>
    <row r="41" customFormat="false" ht="15" hidden="false" customHeight="false" outlineLevel="0" collapsed="false">
      <c r="A41" s="10" t="s">
        <v>65</v>
      </c>
      <c r="B41" s="11" t="n">
        <f aca="false">COUNTIF('Log de Erros'!$C$3:$C$302,$A41)</f>
        <v>0</v>
      </c>
      <c r="C41" s="11" t="n">
        <f aca="false">COUNTIFS('Log de Erros'!$C$3:$C$302,$A41,'Log de Erros'!$H$3:$H$302,"Sim")</f>
        <v>0</v>
      </c>
      <c r="D41" s="11" t="n">
        <f aca="false">B41-C41</f>
        <v>0</v>
      </c>
      <c r="E41" s="12" t="n">
        <f aca="false">IFERROR(C41/B41,0)</f>
        <v>0</v>
      </c>
    </row>
    <row r="42" customFormat="false" ht="15" hidden="false" customHeight="false" outlineLevel="0" collapsed="false">
      <c r="A42" s="10" t="s">
        <v>66</v>
      </c>
      <c r="B42" s="11" t="n">
        <f aca="false">COUNTIF('Log de Erros'!$C$3:$C$302,$A42)</f>
        <v>0</v>
      </c>
      <c r="C42" s="11" t="n">
        <f aca="false">COUNTIFS('Log de Erros'!$C$3:$C$302,$A42,'Log de Erros'!$H$3:$H$302,"Sim")</f>
        <v>0</v>
      </c>
      <c r="D42" s="11" t="n">
        <f aca="false">B42-C42</f>
        <v>0</v>
      </c>
      <c r="E42" s="12" t="n">
        <f aca="false">IFERROR(C42/B42,0)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2026-08-03T20:29:28Z</dcterms:created>
  <dc:creator>openpyxl</dc:creator>
  <dc:description/>
  <dc:language>en-US</dc:language>
  <cp:lastModifiedBy/>
  <dcterms:modified xsi:type="dcterms:W3CDTF">2026-08-03T20:29:28Z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